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Mensal" sheetId="1" state="visible" r:id="rId1"/>
    <sheet xmlns:r="http://schemas.openxmlformats.org/officeDocument/2006/relationships" name="Análise por Questão" sheetId="2" state="visible" r:id="rId2"/>
    <sheet xmlns:r="http://schemas.openxmlformats.org/officeDocument/2006/relationships" name="Q6 – Queda na Aprov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0%;-0.00%;—"/>
    <numFmt numFmtId="165" formatCode="+0.00pp;-0.00pp;0.00pp"/>
    <numFmt numFmtId="166" formatCode="$#,##0.00"/>
    <numFmt numFmtId="167" formatCode="0.0%"/>
    <numFmt numFmtId="168" formatCode="+0.0%;-0.0%;—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9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sz val="10"/>
    </font>
    <font>
      <name val="Calibri"/>
      <b val="1"/>
      <color rgb="00806000"/>
      <sz val="10"/>
    </font>
    <font>
      <name val="Calibri"/>
      <i val="1"/>
      <color rgb="00999999"/>
      <sz val="10"/>
    </font>
    <font>
      <name val="Calibri"/>
      <b val="1"/>
      <color rgb="00375623"/>
      <sz val="10"/>
    </font>
    <font>
      <name val="Calibri"/>
      <color rgb="001F3864"/>
      <sz val="10"/>
    </font>
    <font>
      <name val="Calibri"/>
      <b val="1"/>
      <color rgb="00833C00"/>
      <sz val="10"/>
    </font>
    <font>
      <name val="Calibri"/>
      <color rgb="00806000"/>
      <sz val="10"/>
    </font>
    <font>
      <name val="Calibri"/>
      <color rgb="00833C00"/>
      <sz val="10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b val="1"/>
      <color rgb="00833C00"/>
      <sz val="9"/>
    </font>
    <font>
      <name val="Calibri"/>
      <b val="1"/>
      <color rgb="001F3864"/>
      <sz val="11"/>
    </font>
    <font>
      <name val="Calibri"/>
      <i val="1"/>
      <color rgb="00666666"/>
      <sz val="9"/>
    </font>
    <font>
      <name val="Calibri"/>
      <color rgb="00444444"/>
      <sz val="10"/>
    </font>
    <font>
      <name val="Calibri"/>
      <color rgb="00375623"/>
      <sz val="10"/>
    </font>
    <font>
      <name val="Calibri"/>
      <b val="1"/>
      <color rgb="00FFFFFF"/>
      <sz val="12"/>
    </font>
    <font>
      <name val="Calibri"/>
      <i val="1"/>
      <color rgb="00888888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5FB"/>
      </patternFill>
    </fill>
    <fill>
      <patternFill patternType="solid">
        <fgColor rgb="00FFF9EC"/>
      </patternFill>
    </fill>
    <fill>
      <patternFill patternType="solid">
        <fgColor rgb="00FEF0E8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FADADD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medium">
        <color rgb="002E75B6"/>
      </top>
      <bottom style="medium">
        <color rgb="002E75B6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medium">
        <color rgb="002E75B6"/>
      </top>
      <bottom/>
      <diagonal/>
    </border>
    <border>
      <left/>
      <right style="thin">
        <color rgb="00B8CCE4"/>
      </right>
      <top style="medium">
        <color rgb="002E75B6"/>
      </top>
      <bottom/>
      <diagonal/>
    </border>
    <border>
      <left/>
      <right/>
      <top style="medium">
        <color rgb="002E75B6"/>
      </top>
      <bottom style="medium">
        <color rgb="002E75B6"/>
      </bottom>
      <diagonal/>
    </border>
    <border>
      <left/>
      <right style="thin">
        <color rgb="00B8CCE4"/>
      </right>
      <top style="medium">
        <color rgb="002E75B6"/>
      </top>
      <bottom style="medium">
        <color rgb="002E75B6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3" fontId="5" fillId="5" borderId="2" applyAlignment="1" pivotButton="0" quotePrefix="0" xfId="0">
      <alignment horizontal="center" vertical="center"/>
    </xf>
    <xf numFmtId="10" fontId="7" fillId="6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10" fontId="9" fillId="7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164" fontId="11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3" fontId="5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3" fontId="5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10" fontId="11" fillId="8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3" fontId="5" fillId="11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3" fontId="2" fillId="2" borderId="2" applyAlignment="1" pivotButton="0" quotePrefix="0" xfId="0">
      <alignment horizontal="center" vertical="center"/>
    </xf>
    <xf numFmtId="10" fontId="2" fillId="2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15" fillId="12" borderId="2" applyAlignment="1" pivotButton="0" quotePrefix="0" xfId="0">
      <alignment horizontal="center" vertical="center"/>
    </xf>
    <xf numFmtId="3" fontId="5" fillId="12" borderId="2" applyAlignment="1" pivotButton="0" quotePrefix="0" xfId="0">
      <alignment horizontal="center" vertical="center"/>
    </xf>
    <xf numFmtId="165" fontId="9" fillId="7" borderId="2" applyAlignment="1" pivotButton="0" quotePrefix="0" xfId="0">
      <alignment horizontal="center" vertical="center"/>
    </xf>
    <xf numFmtId="165" fontId="11" fillId="8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8" fillId="1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13" borderId="0" applyAlignment="1" pivotButton="0" quotePrefix="0" xfId="0">
      <alignment horizontal="left" vertical="center" indent="1"/>
    </xf>
    <xf numFmtId="0" fontId="16" fillId="1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0" fillId="5" borderId="2" applyAlignment="1" pivotButton="0" quotePrefix="0" xfId="0">
      <alignment horizontal="left" vertical="center" indent="1"/>
    </xf>
    <xf numFmtId="3" fontId="17" fillId="7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left" vertical="center" indent="1"/>
    </xf>
    <xf numFmtId="0" fontId="10" fillId="15" borderId="2" applyAlignment="1" pivotButton="0" quotePrefix="0" xfId="0">
      <alignment horizontal="left" vertical="center" indent="1"/>
    </xf>
    <xf numFmtId="0" fontId="18" fillId="15" borderId="2" applyAlignment="1" pivotButton="0" quotePrefix="0" xfId="0">
      <alignment horizontal="left" vertical="center" indent="1"/>
    </xf>
    <xf numFmtId="166" fontId="17" fillId="7" borderId="2" applyAlignment="1" pivotButton="0" quotePrefix="0" xfId="0">
      <alignment horizontal="center" vertical="center"/>
    </xf>
    <xf numFmtId="167" fontId="17" fillId="7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indent="1"/>
    </xf>
    <xf numFmtId="167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left" vertical="center" indent="1"/>
    </xf>
    <xf numFmtId="3" fontId="5" fillId="15" borderId="2" applyAlignment="1" pivotButton="0" quotePrefix="0" xfId="0">
      <alignment horizontal="center" vertical="center"/>
    </xf>
    <xf numFmtId="167" fontId="7" fillId="6" borderId="2" applyAlignment="1" pivotButton="0" quotePrefix="0" xfId="0">
      <alignment horizontal="center" vertical="center"/>
    </xf>
    <xf numFmtId="0" fontId="19" fillId="1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indent="1"/>
    </xf>
    <xf numFmtId="0" fontId="19" fillId="5" borderId="2" applyAlignment="1" pivotButton="0" quotePrefix="0" xfId="0">
      <alignment horizontal="center" vertical="center"/>
    </xf>
    <xf numFmtId="167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left" vertical="center" indent="1"/>
    </xf>
    <xf numFmtId="166" fontId="5" fillId="15" borderId="2" applyAlignment="1" pivotButton="0" quotePrefix="0" xfId="0">
      <alignment horizontal="center" vertical="center"/>
    </xf>
    <xf numFmtId="166" fontId="5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167" fontId="5" fillId="12" borderId="2" applyAlignment="1" pivotButton="0" quotePrefix="0" xfId="0">
      <alignment horizontal="center" vertical="center"/>
    </xf>
    <xf numFmtId="167" fontId="9" fillId="7" borderId="2" applyAlignment="1" pivotButton="0" quotePrefix="0" xfId="0">
      <alignment horizontal="center" vertical="center"/>
    </xf>
    <xf numFmtId="168" fontId="9" fillId="7" borderId="2" applyAlignment="1" pivotButton="0" quotePrefix="0" xfId="0">
      <alignment horizontal="center" vertical="center"/>
    </xf>
    <xf numFmtId="0" fontId="22" fillId="12" borderId="2" applyAlignment="1" pivotButton="0" quotePrefix="0" xfId="0">
      <alignment horizontal="center" vertical="center"/>
    </xf>
    <xf numFmtId="167" fontId="15" fillId="12" borderId="2" applyAlignment="1" pivotButton="0" quotePrefix="0" xfId="0">
      <alignment horizontal="center" vertical="center"/>
    </xf>
    <xf numFmtId="168" fontId="11" fillId="8" borderId="2" applyAlignment="1" pivotButton="0" quotePrefix="0" xfId="0">
      <alignment horizontal="center" vertical="center"/>
    </xf>
    <xf numFmtId="167" fontId="11" fillId="8" borderId="2" applyAlignment="1" pivotButton="0" quotePrefix="0" xfId="0">
      <alignment horizontal="center" vertical="center"/>
    </xf>
    <xf numFmtId="3" fontId="5" fillId="12" borderId="2" applyAlignment="1" pivotButton="0" quotePrefix="0" xfId="0">
      <alignment horizontal="center" vertical="center"/>
    </xf>
    <xf numFmtId="3" fontId="11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 de Aprovação Mensal</a:t>
            </a:r>
          </a:p>
        </rich>
      </tx>
    </title>
    <plotArea>
      <lineChart>
        <grouping val="standard"/>
        <ser>
          <idx val="0"/>
          <order val="0"/>
          <tx>
            <strRef>
              <f>'Cronograma Mensal'!E4</f>
            </strRef>
          </tx>
          <spPr>
            <a:ln xmlns:a="http://schemas.openxmlformats.org/drawingml/2006/main" w="22000">
              <a:solidFill>
                <a:srgbClr val="2E75B6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'Cronograma Mensal'!$A$5:$A$16</f>
            </numRef>
          </cat>
          <val>
            <numRef>
              <f>'Cronograma Mensal'!$E$5:$E$16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68"/>
          <min val="0.560000000000000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Aprovadas vs Recusadas por Mês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'Cronograma Mensal'!C4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'Cronograma Mensal'!$A$5:$A$16</f>
            </numRef>
          </cat>
          <val>
            <numRef>
              <f>'Cronograma Mensal'!$C$5:$C$16</f>
            </numRef>
          </val>
        </ser>
        <ser>
          <idx val="1"/>
          <order val="1"/>
          <tx>
            <strRef>
              <f>'Cronograma Mensal'!D4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'Cronograma Mensal'!$A$5:$A$16</f>
            </numRef>
          </cat>
          <val>
            <numRef>
              <f>'Cronograma Mensal'!$D$5:$D$16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 de Chargeback Mensal</a:t>
            </a:r>
          </a:p>
        </rich>
      </tx>
    </title>
    <plotArea>
      <lineChart>
        <grouping val="standard"/>
        <ser>
          <idx val="0"/>
          <order val="0"/>
          <tx>
            <strRef>
              <f>'Cronograma Mensal'!I4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diamond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'Cronograma Mensal'!$A$5:$A$16</f>
            </numRef>
          </cat>
          <val>
            <numRef>
              <f>'Cronograma Mensal'!$I$5:$I$16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08799999999999999"/>
          <min val="0.065"/>
        </scaling>
        <axPos val="l"/>
        <majorGridlines/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Participação dos Canais (Website) por Trimestre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'Q6 – Queda na Aprovacao'!B5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'Q6 – Queda na Aprovacao'!$A$6:$A$9</f>
            </numRef>
          </cat>
          <val>
            <numRef>
              <f>'Q6 – Queda na Aprovacao'!$B$6:$B$9</f>
            </numRef>
          </val>
        </ser>
        <ser>
          <idx val="1"/>
          <order val="1"/>
          <tx>
            <strRef>
              <f>'Q6 – Queda na Aprovacao'!C5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'Q6 – Queda na Aprovacao'!$A$6:$A$9</f>
            </numRef>
          </cat>
          <val>
            <numRef>
              <f>'Q6 – Queda na Aprovacao'!$C$6:$C$9</f>
            </numRef>
          </val>
        </ser>
        <ser>
          <idx val="2"/>
          <order val="2"/>
          <tx>
            <strRef>
              <f>'Q6 – Queda na Aprovacao'!D5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'Q6 – Queda na Aprovacao'!$A$6:$A$9</f>
            </numRef>
          </cat>
          <val>
            <numRef>
              <f>'Q6 – Queda na Aprovacao'!$D$6:$D$9</f>
            </numRef>
          </val>
        </ser>
        <ser>
          <idx val="3"/>
          <order val="3"/>
          <tx>
            <strRef>
              <f>'Q6 – Queda na Aprovacao'!E5</f>
            </strRef>
          </tx>
          <spPr>
            <a:solidFill xmlns:a="http://schemas.openxmlformats.org/drawingml/2006/main">
              <a:srgbClr val="9B59B6"/>
            </a:solidFill>
            <a:ln xmlns:a="http://schemas.openxmlformats.org/drawingml/2006/main">
              <a:prstDash val="solid"/>
            </a:ln>
          </spPr>
          <cat>
            <numRef>
              <f>'Q6 – Queda na Aprovacao'!$A$6:$A$9</f>
            </numRef>
          </cat>
          <val>
            <numRef>
              <f>'Q6 – Queda na Aprovacao'!$E$6:$E$9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Volume por Processador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'Q6 – Queda na Aprovacao'!B12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'Q6 – Queda na Aprovacao'!$A$13:$A$16</f>
            </numRef>
          </cat>
          <val>
            <numRef>
              <f>'Q6 – Queda na Aprovacao'!$B$13:$B$16</f>
            </numRef>
          </val>
        </ser>
        <ser>
          <idx val="1"/>
          <order val="1"/>
          <tx>
            <strRef>
              <f>'Q6 – Queda na Aprovacao'!D12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'Q6 – Queda na Aprovacao'!$A$13:$A$16</f>
            </numRef>
          </cat>
          <val>
            <numRef>
              <f>'Q6 – Queda na Aprovacao'!$D$13:$D$16</f>
            </numRef>
          </val>
        </ser>
        <ser>
          <idx val="2"/>
          <order val="2"/>
          <tx>
            <strRef>
              <f>'Q6 – Queda na Aprovacao'!F12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'Q6 – Queda na Aprovacao'!$A$13:$A$16</f>
            </numRef>
          </cat>
          <val>
            <numRef>
              <f>'Q6 – Queda na Aprovacao'!$F$13:$F$16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15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29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2" customWidth="1" min="7" max="7"/>
    <col width="13" customWidth="1" min="8" max="8"/>
    <col width="11" customWidth="1" min="9" max="9"/>
    <col width="12" customWidth="1" min="10" max="10"/>
    <col width="11" customWidth="1" min="11" max="11"/>
  </cols>
  <sheetData>
    <row r="1" ht="38" customHeight="1">
      <c r="A1" s="1" t="inlineStr">
        <is>
          <t>CRONOGRAMA DE TRANSACOES  |  Out/2020 – Set/2021  |  124.170 Registros</t>
        </is>
      </c>
    </row>
    <row r="2" ht="20" customHeight="1">
      <c r="A2" s="2" t="inlineStr">
        <is>
          <t>Análise longitudinal: taxa de aprovação e chargeback por mês</t>
        </is>
      </c>
    </row>
    <row r="3" ht="6" customHeight="1"/>
    <row r="4" ht="28" customHeight="1">
      <c r="A4" s="3" t="inlineStr">
        <is>
          <t>Mês</t>
        </is>
      </c>
      <c r="B4" s="3" t="inlineStr">
        <is>
          <t>Tentativas</t>
        </is>
      </c>
      <c r="C4" s="3" t="inlineStr">
        <is>
          <t>Aprovadas</t>
        </is>
      </c>
      <c r="D4" s="3" t="inlineStr">
        <is>
          <t>Recusadas</t>
        </is>
      </c>
      <c r="E4" s="3" t="inlineStr">
        <is>
          <t>Taxa Aprov.</t>
        </is>
      </c>
      <c r="F4" s="3" t="inlineStr">
        <is>
          <t>Delta Mensal</t>
        </is>
      </c>
      <c r="G4" s="3" t="inlineStr">
        <is>
          <t>Txns Aprov.</t>
        </is>
      </c>
      <c r="H4" s="3" t="inlineStr">
        <is>
          <t>Chargebacks</t>
        </is>
      </c>
      <c r="I4" s="3" t="inlineStr">
        <is>
          <t>Taxa CB</t>
        </is>
      </c>
      <c r="J4" s="3" t="inlineStr">
        <is>
          <t>Delta CB</t>
        </is>
      </c>
      <c r="K4" s="3" t="inlineStr">
        <is>
          <t>Trimestre</t>
        </is>
      </c>
    </row>
    <row r="5" ht="18" customHeight="1">
      <c r="A5" s="4" t="inlineStr">
        <is>
          <t>Out/20</t>
        </is>
      </c>
      <c r="B5" s="5" t="n">
        <v>10256</v>
      </c>
      <c r="C5" s="5" t="n">
        <v>6350</v>
      </c>
      <c r="D5" s="5" t="n">
        <v>3906</v>
      </c>
      <c r="E5" s="6" t="n">
        <v>0.6191497659906396</v>
      </c>
      <c r="F5" s="7" t="inlineStr">
        <is>
          <t>—</t>
        </is>
      </c>
      <c r="G5" s="5" t="n">
        <v>6350</v>
      </c>
      <c r="H5" s="5" t="n">
        <v>490</v>
      </c>
      <c r="I5" s="8" t="n">
        <v>0.07716535433070866</v>
      </c>
      <c r="J5" s="7" t="inlineStr">
        <is>
          <t>—</t>
        </is>
      </c>
      <c r="K5" s="9" t="inlineStr">
        <is>
          <t>Q4 2020</t>
        </is>
      </c>
    </row>
    <row r="6" ht="18" customHeight="1">
      <c r="A6" s="4" t="inlineStr">
        <is>
          <t>Nov/20</t>
        </is>
      </c>
      <c r="B6" s="5" t="n">
        <v>10711</v>
      </c>
      <c r="C6" s="5" t="n">
        <v>6832</v>
      </c>
      <c r="D6" s="5" t="n">
        <v>3879</v>
      </c>
      <c r="E6" s="8" t="n">
        <v>0.6378489403417048</v>
      </c>
      <c r="F6" s="10" t="n">
        <v>0.01869917435106516</v>
      </c>
      <c r="G6" s="5" t="n">
        <v>6832</v>
      </c>
      <c r="H6" s="5" t="n">
        <v>550</v>
      </c>
      <c r="I6" s="6" t="n">
        <v>0.08050351288056207</v>
      </c>
      <c r="J6" s="11" t="n">
        <v>0.003338158549853407</v>
      </c>
      <c r="K6" s="9" t="inlineStr">
        <is>
          <t>Q4 2020</t>
        </is>
      </c>
    </row>
    <row r="7" ht="18" customHeight="1">
      <c r="A7" s="4" t="inlineStr">
        <is>
          <t>Dez/20</t>
        </is>
      </c>
      <c r="B7" s="5" t="n">
        <v>11405</v>
      </c>
      <c r="C7" s="5" t="n">
        <v>7167</v>
      </c>
      <c r="D7" s="5" t="n">
        <v>4238</v>
      </c>
      <c r="E7" s="8" t="n">
        <v>0.6284085927224902</v>
      </c>
      <c r="F7" s="11" t="n">
        <v>-0.00944034761921464</v>
      </c>
      <c r="G7" s="5" t="n">
        <v>7167</v>
      </c>
      <c r="H7" s="5" t="n">
        <v>588</v>
      </c>
      <c r="I7" s="6" t="n">
        <v>0.08204269568857263</v>
      </c>
      <c r="J7" s="11" t="n">
        <v>0.001539182808010561</v>
      </c>
      <c r="K7" s="9" t="inlineStr">
        <is>
          <t>Q4 2020</t>
        </is>
      </c>
    </row>
    <row r="8" ht="18" customHeight="1">
      <c r="A8" s="12" t="inlineStr">
        <is>
          <t>Jan/21</t>
        </is>
      </c>
      <c r="B8" s="13" t="n">
        <v>12903</v>
      </c>
      <c r="C8" s="13" t="n">
        <v>8004</v>
      </c>
      <c r="D8" s="13" t="n">
        <v>4899</v>
      </c>
      <c r="E8" s="8" t="n">
        <v>0.6203208556149733</v>
      </c>
      <c r="F8" s="11" t="n">
        <v>-0.008087737107516868</v>
      </c>
      <c r="G8" s="13" t="n">
        <v>8004</v>
      </c>
      <c r="H8" s="13" t="n">
        <v>605</v>
      </c>
      <c r="I8" s="8" t="n">
        <v>0.0755872063968016</v>
      </c>
      <c r="J8" s="10" t="n">
        <v>-0.006455489291771033</v>
      </c>
      <c r="K8" s="14" t="inlineStr">
        <is>
          <t>Q1 2021</t>
        </is>
      </c>
    </row>
    <row r="9" ht="18" customHeight="1">
      <c r="A9" s="12" t="inlineStr">
        <is>
          <t>Fev/21</t>
        </is>
      </c>
      <c r="B9" s="13" t="n">
        <v>10567</v>
      </c>
      <c r="C9" s="13" t="n">
        <v>6454</v>
      </c>
      <c r="D9" s="13" t="n">
        <v>4113</v>
      </c>
      <c r="E9" s="6" t="n">
        <v>0.6107693763603672</v>
      </c>
      <c r="F9" s="11" t="n">
        <v>-0.009551479254606088</v>
      </c>
      <c r="G9" s="13" t="n">
        <v>6454</v>
      </c>
      <c r="H9" s="13" t="n">
        <v>516</v>
      </c>
      <c r="I9" s="6" t="n">
        <v>0.07995041834521227</v>
      </c>
      <c r="J9" s="11" t="n">
        <v>0.004363211948410675</v>
      </c>
      <c r="K9" s="14" t="inlineStr">
        <is>
          <t>Q1 2021</t>
        </is>
      </c>
    </row>
    <row r="10" ht="18" customHeight="1">
      <c r="A10" s="12" t="inlineStr">
        <is>
          <t>Mar/21</t>
        </is>
      </c>
      <c r="B10" s="13" t="n">
        <v>11282</v>
      </c>
      <c r="C10" s="13" t="n">
        <v>6908</v>
      </c>
      <c r="D10" s="13" t="n">
        <v>4374</v>
      </c>
      <c r="E10" s="6" t="n">
        <v>0.6123027831944691</v>
      </c>
      <c r="F10" s="10" t="n">
        <v>0.001533406834101858</v>
      </c>
      <c r="G10" s="13" t="n">
        <v>6908</v>
      </c>
      <c r="H10" s="13" t="n">
        <v>515</v>
      </c>
      <c r="I10" s="8" t="n">
        <v>0.07455124493341053</v>
      </c>
      <c r="J10" s="10" t="n">
        <v>-0.005399173411801739</v>
      </c>
      <c r="K10" s="14" t="inlineStr">
        <is>
          <t>Q1 2021</t>
        </is>
      </c>
    </row>
    <row r="11" ht="18" customHeight="1">
      <c r="A11" s="15" t="inlineStr">
        <is>
          <t>Abr/21</t>
        </is>
      </c>
      <c r="B11" s="16" t="n">
        <v>10234</v>
      </c>
      <c r="C11" s="16" t="n">
        <v>6235</v>
      </c>
      <c r="D11" s="16" t="n">
        <v>3999</v>
      </c>
      <c r="E11" s="6" t="n">
        <v>0.6092436974789915</v>
      </c>
      <c r="F11" s="11" t="n">
        <v>-0.003059085715477528</v>
      </c>
      <c r="G11" s="16" t="n">
        <v>6235</v>
      </c>
      <c r="H11" s="16" t="n">
        <v>492</v>
      </c>
      <c r="I11" s="6" t="n">
        <v>0.0789093825180433</v>
      </c>
      <c r="J11" s="11" t="n">
        <v>0.004358137584632771</v>
      </c>
      <c r="K11" s="17" t="inlineStr">
        <is>
          <t>Q2 2021</t>
        </is>
      </c>
    </row>
    <row r="12" ht="18" customHeight="1">
      <c r="A12" s="15" t="inlineStr">
        <is>
          <t>Mai/21</t>
        </is>
      </c>
      <c r="B12" s="16" t="n">
        <v>10181</v>
      </c>
      <c r="C12" s="16" t="n">
        <v>6067</v>
      </c>
      <c r="D12" s="16" t="n">
        <v>4114</v>
      </c>
      <c r="E12" s="18" t="n">
        <v>0.5959139573715745</v>
      </c>
      <c r="F12" s="11" t="n">
        <v>-0.01332974010741705</v>
      </c>
      <c r="G12" s="16" t="n">
        <v>6067</v>
      </c>
      <c r="H12" s="16" t="n">
        <v>464</v>
      </c>
      <c r="I12" s="8" t="n">
        <v>0.07647931432338882</v>
      </c>
      <c r="J12" s="10" t="n">
        <v>-0.002430068194654481</v>
      </c>
      <c r="K12" s="17" t="inlineStr">
        <is>
          <t>Q2 2021</t>
        </is>
      </c>
    </row>
    <row r="13" ht="18" customHeight="1">
      <c r="A13" s="15" t="inlineStr">
        <is>
          <t>Jun/21</t>
        </is>
      </c>
      <c r="B13" s="16" t="n">
        <v>8660</v>
      </c>
      <c r="C13" s="16" t="n">
        <v>5241</v>
      </c>
      <c r="D13" s="16" t="n">
        <v>3419</v>
      </c>
      <c r="E13" s="6" t="n">
        <v>0.6051963048498845</v>
      </c>
      <c r="F13" s="10" t="n">
        <v>0.009282347478310027</v>
      </c>
      <c r="G13" s="16" t="n">
        <v>5241</v>
      </c>
      <c r="H13" s="16" t="n">
        <v>423</v>
      </c>
      <c r="I13" s="6" t="n">
        <v>0.08070978820835718</v>
      </c>
      <c r="J13" s="11" t="n">
        <v>0.004230473884968361</v>
      </c>
      <c r="K13" s="17" t="inlineStr">
        <is>
          <t>Q2 2021</t>
        </is>
      </c>
    </row>
    <row r="14" ht="18" customHeight="1">
      <c r="A14" s="19" t="inlineStr">
        <is>
          <t>Jul/21</t>
        </is>
      </c>
      <c r="B14" s="20" t="n">
        <v>8304</v>
      </c>
      <c r="C14" s="20" t="n">
        <v>4992</v>
      </c>
      <c r="D14" s="20" t="n">
        <v>3312</v>
      </c>
      <c r="E14" s="6" t="n">
        <v>0.6011560693641619</v>
      </c>
      <c r="F14" s="11" t="n">
        <v>-0.004040235485722632</v>
      </c>
      <c r="G14" s="20" t="n">
        <v>4992</v>
      </c>
      <c r="H14" s="20" t="n">
        <v>395</v>
      </c>
      <c r="I14" s="6" t="n">
        <v>0.07912660256410256</v>
      </c>
      <c r="J14" s="10" t="n">
        <v>-0.001583185644254623</v>
      </c>
      <c r="K14" s="21" t="inlineStr">
        <is>
          <t>Q3 2021</t>
        </is>
      </c>
    </row>
    <row r="15" ht="18" customHeight="1">
      <c r="A15" s="19" t="inlineStr">
        <is>
          <t>Ago/21</t>
        </is>
      </c>
      <c r="B15" s="20" t="n">
        <v>8472</v>
      </c>
      <c r="C15" s="20" t="n">
        <v>4999</v>
      </c>
      <c r="D15" s="20" t="n">
        <v>3473</v>
      </c>
      <c r="E15" s="18" t="n">
        <v>0.5900613786591123</v>
      </c>
      <c r="F15" s="11" t="n">
        <v>-0.01109469070504954</v>
      </c>
      <c r="G15" s="20" t="n">
        <v>4999</v>
      </c>
      <c r="H15" s="20" t="n">
        <v>390</v>
      </c>
      <c r="I15" s="6" t="n">
        <v>0.07801560312062412</v>
      </c>
      <c r="J15" s="10" t="n">
        <v>-0.001110999443478436</v>
      </c>
      <c r="K15" s="21" t="inlineStr">
        <is>
          <t>Q3 2021</t>
        </is>
      </c>
    </row>
    <row r="16" ht="18" customHeight="1">
      <c r="A16" s="19" t="inlineStr">
        <is>
          <t>Set/21</t>
        </is>
      </c>
      <c r="B16" s="20" t="n">
        <v>11195</v>
      </c>
      <c r="C16" s="20" t="n">
        <v>6630</v>
      </c>
      <c r="D16" s="20" t="n">
        <v>4565</v>
      </c>
      <c r="E16" s="18" t="n">
        <v>0.592228673514962</v>
      </c>
      <c r="F16" s="10" t="n">
        <v>0.002167294855849655</v>
      </c>
      <c r="G16" s="20" t="n">
        <v>6630</v>
      </c>
      <c r="H16" s="20" t="n">
        <v>494</v>
      </c>
      <c r="I16" s="8" t="n">
        <v>0.07450980392156863</v>
      </c>
      <c r="J16" s="10" t="n">
        <v>-0.003505799199055498</v>
      </c>
      <c r="K16" s="21" t="inlineStr">
        <is>
          <t>Q3 2021</t>
        </is>
      </c>
    </row>
    <row r="17" ht="22" customHeight="1">
      <c r="A17" s="22" t="inlineStr">
        <is>
          <t>TOTAL 12M</t>
        </is>
      </c>
      <c r="B17" s="23">
        <f>SUM(B5:B16)</f>
        <v/>
      </c>
      <c r="C17" s="23">
        <f>SUM(C5:C16)</f>
        <v/>
      </c>
      <c r="D17" s="23">
        <f>SUM(D5:D16)</f>
        <v/>
      </c>
      <c r="E17" s="24">
        <f>C17/B17</f>
        <v/>
      </c>
      <c r="F17" s="25" t="inlineStr"/>
      <c r="G17" s="23">
        <f>SUM(G5:G16)</f>
        <v/>
      </c>
      <c r="H17" s="23">
        <f>SUM(H5:H16)</f>
        <v/>
      </c>
      <c r="I17" s="24">
        <f>H17/G17</f>
        <v/>
      </c>
      <c r="J17" s="25" t="inlineStr"/>
      <c r="K17" s="25" t="inlineStr"/>
    </row>
    <row r="18" ht="20" customHeight="1">
      <c r="A18" s="26" t="inlineStr">
        <is>
          <t xml:space="preserve">  Resumo Trimestral</t>
        </is>
      </c>
    </row>
    <row r="19" ht="28" customHeight="1">
      <c r="A19" s="3" t="inlineStr">
        <is>
          <t>Trimestre</t>
        </is>
      </c>
      <c r="B19" s="3" t="inlineStr">
        <is>
          <t>Tentativas</t>
        </is>
      </c>
      <c r="C19" s="3" t="inlineStr">
        <is>
          <t>Aprovadas</t>
        </is>
      </c>
      <c r="D19" s="3" t="inlineStr">
        <is>
          <t>Recusadas</t>
        </is>
      </c>
      <c r="E19" s="3" t="inlineStr">
        <is>
          <t>Taxa Aprov.</t>
        </is>
      </c>
      <c r="F19" s="3" t="inlineStr">
        <is>
          <t>Delta vs Q4/20</t>
        </is>
      </c>
      <c r="G19" s="3" t="inlineStr">
        <is>
          <t>Txns Aprov.</t>
        </is>
      </c>
      <c r="H19" s="3" t="inlineStr">
        <is>
          <t>Chargebacks</t>
        </is>
      </c>
      <c r="I19" s="3" t="inlineStr">
        <is>
          <t>Taxa CB</t>
        </is>
      </c>
      <c r="J19" s="3" t="inlineStr">
        <is>
          <t>Delta CB vs Q4/20</t>
        </is>
      </c>
      <c r="K19" s="3" t="inlineStr">
        <is>
          <t>Variacao pp</t>
        </is>
      </c>
    </row>
    <row r="20" ht="20" customHeight="1">
      <c r="A20" s="27" t="inlineStr">
        <is>
          <t>2020Q4</t>
        </is>
      </c>
      <c r="B20" s="28" t="n">
        <v>32372</v>
      </c>
      <c r="C20" s="28" t="n">
        <v>20349</v>
      </c>
      <c r="D20" s="28" t="n">
        <v>12023</v>
      </c>
      <c r="E20" s="8" t="n">
        <v>0.6285987890769801</v>
      </c>
      <c r="F20" s="10" t="n">
        <v>0</v>
      </c>
      <c r="G20" s="28" t="n">
        <v>20349</v>
      </c>
      <c r="H20" s="28" t="n">
        <v>1628</v>
      </c>
      <c r="I20" s="6" t="n">
        <v>0.08000393139712025</v>
      </c>
      <c r="J20" s="10" t="n">
        <v>0</v>
      </c>
      <c r="K20" s="29" t="n">
        <v>0</v>
      </c>
    </row>
    <row r="21" ht="20" customHeight="1">
      <c r="A21" s="27" t="inlineStr">
        <is>
          <t>2021Q1</t>
        </is>
      </c>
      <c r="B21" s="28" t="n">
        <v>34752</v>
      </c>
      <c r="C21" s="28" t="n">
        <v>21366</v>
      </c>
      <c r="D21" s="28" t="n">
        <v>13386</v>
      </c>
      <c r="E21" s="6" t="n">
        <v>0.6148135359116023</v>
      </c>
      <c r="F21" s="11" t="n">
        <v>-0.01378525316537782</v>
      </c>
      <c r="G21" s="28" t="n">
        <v>21366</v>
      </c>
      <c r="H21" s="28" t="n">
        <v>1636</v>
      </c>
      <c r="I21" s="8" t="n">
        <v>0.07657025180192829</v>
      </c>
      <c r="J21" s="10" t="n">
        <v>-0.00343367959519196</v>
      </c>
      <c r="K21" s="30" t="n">
        <v>-0.01378525316537782</v>
      </c>
    </row>
    <row r="22" ht="20" customHeight="1">
      <c r="A22" s="27" t="inlineStr">
        <is>
          <t>2021Q2</t>
        </is>
      </c>
      <c r="B22" s="28" t="n">
        <v>29075</v>
      </c>
      <c r="C22" s="28" t="n">
        <v>17543</v>
      </c>
      <c r="D22" s="28" t="n">
        <v>11532</v>
      </c>
      <c r="E22" s="6" t="n">
        <v>0.6033705932932072</v>
      </c>
      <c r="F22" s="11" t="n">
        <v>-0.02522819578377289</v>
      </c>
      <c r="G22" s="28" t="n">
        <v>17543</v>
      </c>
      <c r="H22" s="28" t="n">
        <v>1379</v>
      </c>
      <c r="I22" s="6" t="n">
        <v>0.07860685173573505</v>
      </c>
      <c r="J22" s="10" t="n">
        <v>-0.001397079661385206</v>
      </c>
      <c r="K22" s="30" t="n">
        <v>-0.02522819578377289</v>
      </c>
    </row>
    <row r="23" ht="20" customHeight="1">
      <c r="A23" s="27" t="inlineStr">
        <is>
          <t>2021Q3</t>
        </is>
      </c>
      <c r="B23" s="28" t="n">
        <v>27971</v>
      </c>
      <c r="C23" s="28" t="n">
        <v>16621</v>
      </c>
      <c r="D23" s="28" t="n">
        <v>11350</v>
      </c>
      <c r="E23" s="18" t="n">
        <v>0.5942225876800973</v>
      </c>
      <c r="F23" s="11" t="n">
        <v>-0.0343762013968828</v>
      </c>
      <c r="G23" s="28" t="n">
        <v>16621</v>
      </c>
      <c r="H23" s="28" t="n">
        <v>1279</v>
      </c>
      <c r="I23" s="8" t="n">
        <v>0.07695084531616629</v>
      </c>
      <c r="J23" s="10" t="n">
        <v>-0.003053086080953962</v>
      </c>
      <c r="K23" s="30" t="n">
        <v>-0.0343762013968828</v>
      </c>
    </row>
  </sheetData>
  <mergeCells count="3">
    <mergeCell ref="A2:K2"/>
    <mergeCell ref="A1:K1"/>
    <mergeCell ref="A18:K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4" customWidth="1" min="4" max="4"/>
    <col width="18" customWidth="1" min="5" max="5"/>
    <col width="20" customWidth="1" min="6" max="6"/>
    <col width="14" customWidth="1" min="7" max="7"/>
    <col width="12" customWidth="1" min="8" max="8"/>
    <col width="12" customWidth="1" min="9" max="9"/>
  </cols>
  <sheetData>
    <row r="1" ht="36" customHeight="1">
      <c r="A1" s="1" t="inlineStr">
        <is>
          <t>ANÁLISE POR QUESTÃO  |  Respostas Q1 a Q8</t>
        </is>
      </c>
    </row>
    <row r="2" ht="20" customHeight="1">
      <c r="A2" s="2" t="inlineStr">
        <is>
          <t>Cálculos executados diretamente sobre 124.170 registros originais</t>
        </is>
      </c>
    </row>
    <row r="3" ht="6" customHeight="1"/>
    <row r="4" ht="20" customHeight="1">
      <c r="A4" s="31" t="inlineStr">
        <is>
          <t xml:space="preserve">  Q1a — Taxa de Aprovação Trimestral</t>
        </is>
      </c>
    </row>
    <row r="5" ht="28" customHeight="1">
      <c r="A5" s="3" t="inlineStr">
        <is>
          <t>Trimestre</t>
        </is>
      </c>
      <c r="B5" s="3" t="inlineStr">
        <is>
          <t>Tentativas</t>
        </is>
      </c>
      <c r="C5" s="3" t="inlineStr">
        <is>
          <t>Aprovadas</t>
        </is>
      </c>
      <c r="D5" s="3" t="inlineStr">
        <is>
          <t>Recusadas</t>
        </is>
      </c>
      <c r="E5" s="3" t="inlineStr">
        <is>
          <t>Taxa Aprovação</t>
        </is>
      </c>
      <c r="F5" s="3" t="inlineStr">
        <is>
          <t>Delta Sequencial</t>
        </is>
      </c>
      <c r="G5" s="3" t="inlineStr">
        <is>
          <t>Delta vs Q4/2020</t>
        </is>
      </c>
    </row>
    <row r="6" ht="20" customHeight="1">
      <c r="A6" s="27" t="inlineStr">
        <is>
          <t>2020Q4</t>
        </is>
      </c>
      <c r="B6" s="28" t="n">
        <v>32372</v>
      </c>
      <c r="C6" s="28" t="n">
        <v>20349</v>
      </c>
      <c r="D6" s="28" t="n">
        <v>12023</v>
      </c>
      <c r="E6" s="8" t="n">
        <v>0.6285987890769801</v>
      </c>
      <c r="F6" s="32" t="inlineStr">
        <is>
          <t>—</t>
        </is>
      </c>
      <c r="G6" s="10" t="n">
        <v>0</v>
      </c>
      <c r="H6" s="33" t="n"/>
      <c r="I6" s="33" t="n"/>
    </row>
    <row r="7" ht="20" customHeight="1">
      <c r="A7" s="27" t="inlineStr">
        <is>
          <t>2021Q1</t>
        </is>
      </c>
      <c r="B7" s="28" t="n">
        <v>34752</v>
      </c>
      <c r="C7" s="28" t="n">
        <v>21366</v>
      </c>
      <c r="D7" s="28" t="n">
        <v>13386</v>
      </c>
      <c r="E7" s="6" t="n">
        <v>0.6148135359116023</v>
      </c>
      <c r="F7" s="11" t="n">
        <v>-0.01378525316537782</v>
      </c>
      <c r="G7" s="11" t="n">
        <v>-0.01378525316537782</v>
      </c>
      <c r="H7" s="33" t="n"/>
      <c r="I7" s="33" t="n"/>
    </row>
    <row r="8" ht="20" customHeight="1">
      <c r="A8" s="27" t="inlineStr">
        <is>
          <t>2021Q2</t>
        </is>
      </c>
      <c r="B8" s="28" t="n">
        <v>29075</v>
      </c>
      <c r="C8" s="28" t="n">
        <v>17543</v>
      </c>
      <c r="D8" s="28" t="n">
        <v>11532</v>
      </c>
      <c r="E8" s="6" t="n">
        <v>0.6033705932932072</v>
      </c>
      <c r="F8" s="11" t="n">
        <v>-0.01144294261839507</v>
      </c>
      <c r="G8" s="11" t="n">
        <v>-0.02522819578377289</v>
      </c>
      <c r="H8" s="33" t="n"/>
      <c r="I8" s="33" t="n"/>
    </row>
    <row r="9" ht="20" customHeight="1">
      <c r="A9" s="27" t="inlineStr">
        <is>
          <t>2021Q3</t>
        </is>
      </c>
      <c r="B9" s="28" t="n">
        <v>27971</v>
      </c>
      <c r="C9" s="28" t="n">
        <v>16621</v>
      </c>
      <c r="D9" s="28" t="n">
        <v>11350</v>
      </c>
      <c r="E9" s="18" t="n">
        <v>0.5942225876800973</v>
      </c>
      <c r="F9" s="11" t="n">
        <v>-0.009148005613109911</v>
      </c>
      <c r="G9" s="11" t="n">
        <v>-0.0343762013968828</v>
      </c>
      <c r="H9" s="33" t="n"/>
      <c r="I9" s="33" t="n"/>
    </row>
    <row r="11" ht="20" customHeight="1">
      <c r="A11" s="34" t="inlineStr">
        <is>
          <t xml:space="preserve">  Q1b — Taxa de Chargeback Trimestral</t>
        </is>
      </c>
    </row>
    <row r="12" ht="28" customHeight="1">
      <c r="A12" s="35" t="inlineStr">
        <is>
          <t>Trimestre</t>
        </is>
      </c>
      <c r="B12" s="35" t="inlineStr">
        <is>
          <t>Txns Aprovadas</t>
        </is>
      </c>
      <c r="C12" s="35" t="inlineStr">
        <is>
          <t>Chargebacks</t>
        </is>
      </c>
      <c r="D12" s="35" t="inlineStr">
        <is>
          <t>Taxa CB</t>
        </is>
      </c>
      <c r="E12" s="35" t="inlineStr">
        <is>
          <t>Delta Sequencial</t>
        </is>
      </c>
      <c r="F12" s="35" t="inlineStr">
        <is>
          <t>Delta vs Q4/2020</t>
        </is>
      </c>
      <c r="G12" s="35" t="inlineStr">
        <is>
          <t>vs Média Período</t>
        </is>
      </c>
    </row>
    <row r="13" ht="20" customHeight="1">
      <c r="A13" s="27" t="inlineStr">
        <is>
          <t>2020Q4</t>
        </is>
      </c>
      <c r="B13" s="28" t="n">
        <v>20349</v>
      </c>
      <c r="C13" s="28" t="n">
        <v>1628</v>
      </c>
      <c r="D13" s="6" t="n">
        <v>0.08000393139712025</v>
      </c>
      <c r="E13" s="32" t="inlineStr">
        <is>
          <t>—</t>
        </is>
      </c>
      <c r="F13" s="10" t="n">
        <v>0</v>
      </c>
      <c r="G13" s="11" t="n">
        <v>0.001970961334382779</v>
      </c>
      <c r="H13" s="33" t="n"/>
      <c r="I13" s="33" t="n"/>
    </row>
    <row r="14" ht="20" customHeight="1">
      <c r="A14" s="27" t="inlineStr">
        <is>
          <t>2021Q1</t>
        </is>
      </c>
      <c r="B14" s="28" t="n">
        <v>21366</v>
      </c>
      <c r="C14" s="28" t="n">
        <v>1636</v>
      </c>
      <c r="D14" s="8" t="n">
        <v>0.07657025180192829</v>
      </c>
      <c r="E14" s="10" t="n">
        <v>-0.00343367959519196</v>
      </c>
      <c r="F14" s="10" t="n">
        <v>-0.00343367959519196</v>
      </c>
      <c r="G14" s="10" t="n">
        <v>-0.001462718260809182</v>
      </c>
      <c r="H14" s="33" t="n"/>
      <c r="I14" s="33" t="n"/>
    </row>
    <row r="15" ht="20" customHeight="1">
      <c r="A15" s="27" t="inlineStr">
        <is>
          <t>2021Q2</t>
        </is>
      </c>
      <c r="B15" s="28" t="n">
        <v>17543</v>
      </c>
      <c r="C15" s="28" t="n">
        <v>1379</v>
      </c>
      <c r="D15" s="6" t="n">
        <v>0.07860685173573505</v>
      </c>
      <c r="E15" s="11" t="n">
        <v>0.002036599933806754</v>
      </c>
      <c r="F15" s="10" t="n">
        <v>-0.001397079661385206</v>
      </c>
      <c r="G15" s="11" t="n">
        <v>0.0005738816729975726</v>
      </c>
      <c r="H15" s="33" t="n"/>
      <c r="I15" s="33" t="n"/>
    </row>
    <row r="16" ht="20" customHeight="1">
      <c r="A16" s="27" t="inlineStr">
        <is>
          <t>2021Q3</t>
        </is>
      </c>
      <c r="B16" s="28" t="n">
        <v>16621</v>
      </c>
      <c r="C16" s="28" t="n">
        <v>1279</v>
      </c>
      <c r="D16" s="8" t="n">
        <v>0.07695084531616629</v>
      </c>
      <c r="E16" s="10" t="n">
        <v>-0.001656006419568756</v>
      </c>
      <c r="F16" s="10" t="n">
        <v>-0.003053086080953962</v>
      </c>
      <c r="G16" s="10" t="n">
        <v>-0.001082124746571184</v>
      </c>
      <c r="H16" s="33" t="n"/>
      <c r="I16" s="33" t="n"/>
    </row>
    <row r="18" ht="20" customHeight="1">
      <c r="A18" s="31" t="inlineStr">
        <is>
          <t xml:space="preserve">  Q2 &amp; Q3 — Coorte: Clientes com Deposito de $50 em Setembro 2021</t>
        </is>
      </c>
    </row>
    <row r="19" ht="28" customHeight="1">
      <c r="A19" s="3" t="inlineStr">
        <is>
          <t>Métrica</t>
        </is>
      </c>
      <c r="B19" s="36" t="n"/>
      <c r="C19" s="36" t="n"/>
      <c r="D19" s="36" t="n"/>
      <c r="E19" s="37" t="n"/>
      <c r="F19" s="3" t="inlineStr">
        <is>
          <t>Valor</t>
        </is>
      </c>
      <c r="G19" s="3" t="inlineStr">
        <is>
          <t>Observação</t>
        </is>
      </c>
      <c r="H19" s="36" t="n"/>
      <c r="I19" s="37" t="n"/>
    </row>
    <row r="20" ht="20" customHeight="1">
      <c r="A20" s="38" t="inlineStr">
        <is>
          <t>Q2 - Clientes únicos que tentaram $50 em Set-2021</t>
        </is>
      </c>
      <c r="F20" s="39" t="n">
        <v>1803</v>
      </c>
      <c r="G20" s="40" t="inlineStr">
        <is>
          <t>Inclui todos status de transação</t>
        </is>
      </c>
    </row>
    <row r="21" ht="20" customHeight="1">
      <c r="A21" s="41" t="inlineStr">
        <is>
          <t>Q2 - Total de tentativas de $50 em Set-2021</t>
        </is>
      </c>
      <c r="F21" s="39" t="n">
        <v>2170</v>
      </c>
      <c r="G21" s="42" t="inlineStr">
        <is>
          <t>Alguns clientes tentaram múltiplas vezes</t>
        </is>
      </c>
    </row>
    <row r="22" ht="20" customHeight="1">
      <c r="A22" s="38" t="inlineStr">
        <is>
          <t>Q3 - Transações aprovadas do grupo (todos valores)</t>
        </is>
      </c>
      <c r="F22" s="39" t="n">
        <v>1882</v>
      </c>
      <c r="G22" s="40" t="inlineStr">
        <is>
          <t>Período: Setembro 2021</t>
        </is>
      </c>
    </row>
    <row r="23" ht="20" customHeight="1">
      <c r="A23" s="41" t="inlineStr">
        <is>
          <t>Q3 - Valor total depositado pelo grupo</t>
        </is>
      </c>
      <c r="F23" s="43" t="n">
        <v>113634.87</v>
      </c>
      <c r="G23" s="42" t="inlineStr">
        <is>
          <t>Somatório de todas as aprovações</t>
        </is>
      </c>
    </row>
    <row r="24" ht="20" customHeight="1">
      <c r="A24" s="38" t="inlineStr">
        <is>
          <t>Q3 - Taxa de aprovação do coorte</t>
        </is>
      </c>
      <c r="F24" s="44" t="n">
        <v>0.8672811059907835</v>
      </c>
      <c r="G24" s="40" t="inlineStr">
        <is>
          <t>vs 59,4% geral em Set-2021</t>
        </is>
      </c>
    </row>
    <row r="26" ht="20" customHeight="1">
      <c r="A26" s="31" t="inlineStr">
        <is>
          <t xml:space="preserve">  Q4 — Top 10 Bancos Emissores: Taxa de Aprovação ($150-$999,99 | 2021)</t>
        </is>
      </c>
    </row>
    <row r="27" ht="28" customHeight="1">
      <c r="A27" s="3" t="inlineStr">
        <is>
          <t>Banco Emissor</t>
        </is>
      </c>
      <c r="B27" s="3" t="inlineStr">
        <is>
          <t>Tentativas</t>
        </is>
      </c>
      <c r="C27" s="3" t="inlineStr">
        <is>
          <t>Aprovadas</t>
        </is>
      </c>
      <c r="D27" s="3" t="inlineStr">
        <is>
          <t>Recusadas</t>
        </is>
      </c>
      <c r="E27" s="3" t="inlineStr">
        <is>
          <t>Taxa Aprovação</t>
        </is>
      </c>
      <c r="F27" s="3" t="inlineStr">
        <is>
          <t>Posição</t>
        </is>
      </c>
    </row>
    <row r="28" ht="18" customHeight="1">
      <c r="A28" s="45" t="inlineStr">
        <is>
          <t>BANK1002</t>
        </is>
      </c>
      <c r="B28" s="5" t="n">
        <v>2982</v>
      </c>
      <c r="C28" s="5" t="n">
        <v>2081</v>
      </c>
      <c r="D28" s="5" t="n">
        <v>901</v>
      </c>
      <c r="E28" s="46" t="n">
        <v>0.6978537894030852</v>
      </c>
      <c r="F28" s="47" t="inlineStr">
        <is>
          <t>MAIOR TAXA</t>
        </is>
      </c>
      <c r="G28" s="33" t="n"/>
      <c r="H28" s="33" t="n"/>
      <c r="I28" s="33" t="n"/>
    </row>
    <row r="29" ht="18" customHeight="1">
      <c r="A29" s="48" t="inlineStr">
        <is>
          <t>BANK1010</t>
        </is>
      </c>
      <c r="B29" s="49" t="n">
        <v>702</v>
      </c>
      <c r="C29" s="49" t="n">
        <v>427</v>
      </c>
      <c r="D29" s="49" t="n">
        <v>275</v>
      </c>
      <c r="E29" s="50" t="n">
        <v>0.6082621082621082</v>
      </c>
      <c r="F29" s="51" t="inlineStr">
        <is>
          <t>#2</t>
        </is>
      </c>
      <c r="G29" s="33" t="n"/>
      <c r="H29" s="33" t="n"/>
      <c r="I29" s="33" t="n"/>
    </row>
    <row r="30" ht="18" customHeight="1">
      <c r="A30" s="52" t="inlineStr">
        <is>
          <t>BANK1000</t>
        </is>
      </c>
      <c r="B30" s="5" t="n">
        <v>4044</v>
      </c>
      <c r="C30" s="5" t="n">
        <v>2455</v>
      </c>
      <c r="D30" s="5" t="n">
        <v>1589</v>
      </c>
      <c r="E30" s="50" t="n">
        <v>0.6070722057368941</v>
      </c>
      <c r="F30" s="53" t="inlineStr">
        <is>
          <t>#3</t>
        </is>
      </c>
      <c r="G30" s="33" t="n"/>
      <c r="H30" s="33" t="n"/>
      <c r="I30" s="33" t="n"/>
    </row>
    <row r="31" ht="18" customHeight="1">
      <c r="A31" s="48" t="inlineStr">
        <is>
          <t>BANK1019</t>
        </is>
      </c>
      <c r="B31" s="49" t="n">
        <v>382</v>
      </c>
      <c r="C31" s="49" t="n">
        <v>215</v>
      </c>
      <c r="D31" s="49" t="n">
        <v>167</v>
      </c>
      <c r="E31" s="54" t="n">
        <v>0.56282722513089</v>
      </c>
      <c r="F31" s="51" t="inlineStr">
        <is>
          <t>#4</t>
        </is>
      </c>
      <c r="G31" s="33" t="n"/>
      <c r="H31" s="33" t="n"/>
      <c r="I31" s="33" t="n"/>
    </row>
    <row r="32" ht="18" customHeight="1">
      <c r="A32" s="52" t="inlineStr">
        <is>
          <t>BANK1001</t>
        </is>
      </c>
      <c r="B32" s="5" t="n">
        <v>2010</v>
      </c>
      <c r="C32" s="5" t="n">
        <v>1078</v>
      </c>
      <c r="D32" s="5" t="n">
        <v>932</v>
      </c>
      <c r="E32" s="54" t="n">
        <v>0.536318407960199</v>
      </c>
      <c r="F32" s="53" t="inlineStr">
        <is>
          <t>#5</t>
        </is>
      </c>
      <c r="G32" s="33" t="n"/>
      <c r="H32" s="33" t="n"/>
      <c r="I32" s="33" t="n"/>
    </row>
    <row r="33" ht="18" customHeight="1">
      <c r="A33" s="48" t="inlineStr">
        <is>
          <t>BANK1006</t>
        </is>
      </c>
      <c r="B33" s="49" t="n">
        <v>436</v>
      </c>
      <c r="C33" s="49" t="n">
        <v>218</v>
      </c>
      <c r="D33" s="49" t="n">
        <v>218</v>
      </c>
      <c r="E33" s="54" t="n">
        <v>0.5</v>
      </c>
      <c r="F33" s="51" t="inlineStr">
        <is>
          <t>#6</t>
        </is>
      </c>
      <c r="G33" s="33" t="n"/>
      <c r="H33" s="33" t="n"/>
      <c r="I33" s="33" t="n"/>
    </row>
    <row r="34" ht="18" customHeight="1">
      <c r="A34" s="52" t="inlineStr">
        <is>
          <t>BANK1004</t>
        </is>
      </c>
      <c r="B34" s="5" t="n">
        <v>966</v>
      </c>
      <c r="C34" s="5" t="n">
        <v>482</v>
      </c>
      <c r="D34" s="5" t="n">
        <v>484</v>
      </c>
      <c r="E34" s="54" t="n">
        <v>0.4989648033126294</v>
      </c>
      <c r="F34" s="53" t="inlineStr">
        <is>
          <t>#7</t>
        </is>
      </c>
      <c r="G34" s="33" t="n"/>
      <c r="H34" s="33" t="n"/>
      <c r="I34" s="33" t="n"/>
    </row>
    <row r="35" ht="18" customHeight="1">
      <c r="A35" s="48" t="inlineStr">
        <is>
          <t>BANK1015</t>
        </is>
      </c>
      <c r="B35" s="49" t="n">
        <v>300</v>
      </c>
      <c r="C35" s="49" t="n">
        <v>146</v>
      </c>
      <c r="D35" s="49" t="n">
        <v>154</v>
      </c>
      <c r="E35" s="54" t="n">
        <v>0.4866666666666667</v>
      </c>
      <c r="F35" s="51" t="inlineStr">
        <is>
          <t>#8</t>
        </is>
      </c>
      <c r="G35" s="33" t="n"/>
      <c r="H35" s="33" t="n"/>
      <c r="I35" s="33" t="n"/>
    </row>
    <row r="36" ht="18" customHeight="1">
      <c r="A36" s="52" t="inlineStr">
        <is>
          <t>BANK1017</t>
        </is>
      </c>
      <c r="B36" s="5" t="n">
        <v>324</v>
      </c>
      <c r="C36" s="5" t="n">
        <v>132</v>
      </c>
      <c r="D36" s="5" t="n">
        <v>192</v>
      </c>
      <c r="E36" s="54" t="n">
        <v>0.4074074074074074</v>
      </c>
      <c r="F36" s="53" t="inlineStr">
        <is>
          <t>#9</t>
        </is>
      </c>
      <c r="G36" s="33" t="n"/>
      <c r="H36" s="33" t="n"/>
      <c r="I36" s="33" t="n"/>
    </row>
    <row r="37" ht="18" customHeight="1">
      <c r="A37" s="48" t="inlineStr">
        <is>
          <t>BANK1013</t>
        </is>
      </c>
      <c r="B37" s="49" t="n">
        <v>638</v>
      </c>
      <c r="C37" s="49" t="n">
        <v>257</v>
      </c>
      <c r="D37" s="49" t="n">
        <v>381</v>
      </c>
      <c r="E37" s="54" t="n">
        <v>0.4028213166144201</v>
      </c>
      <c r="F37" s="55" t="inlineStr">
        <is>
          <t>MENOR TAXA</t>
        </is>
      </c>
      <c r="G37" s="33" t="n"/>
      <c r="H37" s="33" t="n"/>
      <c r="I37" s="33" t="n"/>
    </row>
    <row r="39" ht="20" customHeight="1">
      <c r="A39" s="34" t="inlineStr">
        <is>
          <t xml:space="preserve">  Q7 — Fator 1: Bancos Emissores com Alta Taxa de Chargeback</t>
        </is>
      </c>
    </row>
    <row r="40" ht="28" customHeight="1">
      <c r="A40" s="35" t="inlineStr">
        <is>
          <t>Banco Emissor</t>
        </is>
      </c>
      <c r="B40" s="35" t="inlineStr">
        <is>
          <t>Txns Aprov.</t>
        </is>
      </c>
      <c r="C40" s="35" t="inlineStr">
        <is>
          <t>Chargebacks</t>
        </is>
      </c>
      <c r="D40" s="35" t="inlineStr">
        <is>
          <t>Taxa CB</t>
        </is>
      </c>
      <c r="E40" s="35" t="inlineStr">
        <is>
          <t>vs Média 7,80%</t>
        </is>
      </c>
      <c r="F40" s="35" t="inlineStr">
        <is>
          <t>Dep. Médio</t>
        </is>
      </c>
    </row>
    <row r="41" ht="18" customHeight="1">
      <c r="A41" s="56" t="inlineStr">
        <is>
          <t>BANK1002</t>
        </is>
      </c>
      <c r="B41" s="49" t="n">
        <v>8934</v>
      </c>
      <c r="C41" s="49" t="n">
        <v>1202</v>
      </c>
      <c r="D41" s="18" t="n">
        <v>0.1345421983434072</v>
      </c>
      <c r="E41" s="11" t="n">
        <v>0.05654219834340722</v>
      </c>
      <c r="F41" s="57" t="n">
        <v>206.436901723752</v>
      </c>
      <c r="G41" s="33" t="n"/>
      <c r="H41" s="33" t="n"/>
      <c r="I41" s="33" t="n"/>
    </row>
    <row r="42" ht="18" customHeight="1">
      <c r="A42" s="45" t="inlineStr">
        <is>
          <t>BANK1001</t>
        </is>
      </c>
      <c r="B42" s="5" t="n">
        <v>8399</v>
      </c>
      <c r="C42" s="5" t="n">
        <v>885</v>
      </c>
      <c r="D42" s="18" t="n">
        <v>0.1053696868674842</v>
      </c>
      <c r="E42" s="11" t="n">
        <v>0.02736968686748423</v>
      </c>
      <c r="F42" s="58" t="n">
        <v>119.3149124895821</v>
      </c>
      <c r="G42" s="33" t="n"/>
      <c r="H42" s="33" t="n"/>
      <c r="I42" s="33" t="n"/>
    </row>
    <row r="43" ht="18" customHeight="1">
      <c r="A43" s="56" t="inlineStr">
        <is>
          <t>BANK1017</t>
        </is>
      </c>
      <c r="B43" s="49" t="n">
        <v>3042</v>
      </c>
      <c r="C43" s="49" t="n">
        <v>312</v>
      </c>
      <c r="D43" s="18" t="n">
        <v>0.1025641025641026</v>
      </c>
      <c r="E43" s="11" t="n">
        <v>0.02456410256410256</v>
      </c>
      <c r="F43" s="57" t="n">
        <v>60.3836620644313</v>
      </c>
      <c r="G43" s="33" t="n"/>
      <c r="H43" s="33" t="n"/>
      <c r="I43" s="33" t="n"/>
    </row>
    <row r="44" ht="18" customHeight="1">
      <c r="A44" s="45" t="inlineStr">
        <is>
          <t>BANK1024</t>
        </is>
      </c>
      <c r="B44" s="5" t="n">
        <v>739</v>
      </c>
      <c r="C44" s="5" t="n">
        <v>67</v>
      </c>
      <c r="D44" s="18" t="n">
        <v>0.09066305818673884</v>
      </c>
      <c r="E44" s="11" t="n">
        <v>0.01266305818673884</v>
      </c>
      <c r="F44" s="58" t="n">
        <v>117.3404600811908</v>
      </c>
      <c r="G44" s="33" t="n"/>
      <c r="H44" s="33" t="n"/>
      <c r="I44" s="33" t="n"/>
    </row>
    <row r="45" ht="18" customHeight="1">
      <c r="A45" s="56" t="inlineStr">
        <is>
          <t>BANK1000</t>
        </is>
      </c>
      <c r="B45" s="49" t="n">
        <v>15747</v>
      </c>
      <c r="C45" s="49" t="n">
        <v>1199</v>
      </c>
      <c r="D45" s="8" t="n">
        <v>0.07614148726741601</v>
      </c>
      <c r="E45" s="10" t="n">
        <v>-0.001858512732583986</v>
      </c>
      <c r="F45" s="57" t="n">
        <v>129.6014409093796</v>
      </c>
      <c r="G45" s="33" t="n"/>
      <c r="H45" s="33" t="n"/>
      <c r="I45" s="33" t="n"/>
    </row>
    <row r="46" ht="18" customHeight="1">
      <c r="A46" s="45" t="inlineStr">
        <is>
          <t>BANK1020</t>
        </is>
      </c>
      <c r="B46" s="5" t="n">
        <v>676</v>
      </c>
      <c r="C46" s="5" t="n">
        <v>49</v>
      </c>
      <c r="D46" s="8" t="n">
        <v>0.07248520710059171</v>
      </c>
      <c r="E46" s="10" t="n">
        <v>-0.005514792899408288</v>
      </c>
      <c r="F46" s="58" t="n">
        <v>118.2239201183432</v>
      </c>
      <c r="G46" s="33" t="n"/>
      <c r="H46" s="33" t="n"/>
      <c r="I46" s="33" t="n"/>
    </row>
    <row r="47" ht="18" customHeight="1">
      <c r="A47" s="56" t="inlineStr">
        <is>
          <t>BANK1037</t>
        </is>
      </c>
      <c r="B47" s="49" t="n">
        <v>360</v>
      </c>
      <c r="C47" s="49" t="n">
        <v>26</v>
      </c>
      <c r="D47" s="8" t="n">
        <v>0.07222222222222222</v>
      </c>
      <c r="E47" s="10" t="n">
        <v>-0.005777777777777784</v>
      </c>
      <c r="F47" s="57" t="n">
        <v>107.7146388888889</v>
      </c>
      <c r="G47" s="33" t="n"/>
      <c r="H47" s="33" t="n"/>
      <c r="I47" s="33" t="n"/>
    </row>
    <row r="48" ht="18" customHeight="1">
      <c r="A48" s="45" t="inlineStr">
        <is>
          <t>BANK1081</t>
        </is>
      </c>
      <c r="B48" s="5" t="n">
        <v>344</v>
      </c>
      <c r="C48" s="5" t="n">
        <v>24</v>
      </c>
      <c r="D48" s="8" t="n">
        <v>0.06976744186046512</v>
      </c>
      <c r="E48" s="10" t="n">
        <v>-0.008232558139534885</v>
      </c>
      <c r="F48" s="58" t="n">
        <v>149.6196802325581</v>
      </c>
      <c r="G48" s="33" t="n"/>
      <c r="H48" s="33" t="n"/>
      <c r="I48" s="33" t="n"/>
    </row>
    <row r="50" ht="20" customHeight="1">
      <c r="A50" s="34" t="inlineStr">
        <is>
          <t xml:space="preserve">  Q7 — Fator 2: Taxa de Chargeback por Faixa de Valor Depositado</t>
        </is>
      </c>
    </row>
    <row r="51" ht="28" customHeight="1">
      <c r="A51" s="35" t="inlineStr">
        <is>
          <t>Faixa de Valor</t>
        </is>
      </c>
      <c r="B51" s="35" t="inlineStr">
        <is>
          <t>Txns Aprov.</t>
        </is>
      </c>
      <c r="C51" s="35" t="inlineStr">
        <is>
          <t>Chargebacks</t>
        </is>
      </c>
      <c r="D51" s="35" t="inlineStr">
        <is>
          <t>Taxa CB</t>
        </is>
      </c>
      <c r="E51" s="35" t="inlineStr">
        <is>
          <t>vs Média 7,80%</t>
        </is>
      </c>
      <c r="F51" s="35" t="inlineStr">
        <is>
          <t>Tendência</t>
        </is>
      </c>
    </row>
    <row r="52" ht="18" customHeight="1">
      <c r="A52" s="45" t="inlineStr">
        <is>
          <t>$0-$200</t>
        </is>
      </c>
      <c r="B52" s="5" t="n">
        <v>64641</v>
      </c>
      <c r="C52" s="5" t="n">
        <v>4952</v>
      </c>
      <c r="D52" s="8" t="n">
        <v>0.07660772574681704</v>
      </c>
      <c r="E52" s="10" t="n">
        <v>-0.00139227425318296</v>
      </c>
      <c r="F52" s="59" t="inlineStr">
        <is>
          <t>Dentro do normal</t>
        </is>
      </c>
      <c r="G52" s="33" t="n"/>
      <c r="H52" s="33" t="n"/>
      <c r="I52" s="33" t="n"/>
    </row>
    <row r="53" ht="18" customHeight="1">
      <c r="A53" s="56" t="inlineStr">
        <is>
          <t>$201-$500</t>
        </is>
      </c>
      <c r="B53" s="49" t="n">
        <v>9437</v>
      </c>
      <c r="C53" s="49" t="n">
        <v>802</v>
      </c>
      <c r="D53" s="6" t="n">
        <v>0.08498463494754689</v>
      </c>
      <c r="E53" s="11" t="n">
        <v>0.006984634947546892</v>
      </c>
      <c r="F53" s="60" t="inlineStr">
        <is>
          <t>Acima da media</t>
        </is>
      </c>
      <c r="G53" s="33" t="n"/>
      <c r="H53" s="33" t="n"/>
      <c r="I53" s="33" t="n"/>
    </row>
    <row r="54" ht="18" customHeight="1">
      <c r="A54" s="45" t="inlineStr">
        <is>
          <t>$501-$1,000</t>
        </is>
      </c>
      <c r="B54" s="5" t="n">
        <v>1382</v>
      </c>
      <c r="C54" s="5" t="n">
        <v>124</v>
      </c>
      <c r="D54" s="18" t="n">
        <v>0.08972503617945007</v>
      </c>
      <c r="E54" s="11" t="n">
        <v>0.01172503617945007</v>
      </c>
      <c r="F54" s="61" t="inlineStr">
        <is>
          <t>Acima da media</t>
        </is>
      </c>
      <c r="G54" s="33" t="n"/>
      <c r="H54" s="33" t="n"/>
      <c r="I54" s="33" t="n"/>
    </row>
    <row r="55" ht="18" customHeight="1">
      <c r="A55" s="56" t="inlineStr">
        <is>
          <t>$1,001+</t>
        </is>
      </c>
      <c r="B55" s="49" t="n">
        <v>419</v>
      </c>
      <c r="C55" s="49" t="n">
        <v>44</v>
      </c>
      <c r="D55" s="18" t="n">
        <v>0.1050119331742243</v>
      </c>
      <c r="E55" s="11" t="n">
        <v>0.02701193317422435</v>
      </c>
      <c r="F55" s="60" t="inlineStr">
        <is>
          <t>Acima da media</t>
        </is>
      </c>
      <c r="G55" s="33" t="n"/>
      <c r="H55" s="33" t="n"/>
      <c r="I55" s="33" t="n"/>
    </row>
  </sheetData>
  <mergeCells count="20">
    <mergeCell ref="A24:E24"/>
    <mergeCell ref="G19:I19"/>
    <mergeCell ref="A18:I18"/>
    <mergeCell ref="A50:I50"/>
    <mergeCell ref="A26:I26"/>
    <mergeCell ref="G24:I24"/>
    <mergeCell ref="A2:I2"/>
    <mergeCell ref="G20:I20"/>
    <mergeCell ref="A4:I4"/>
    <mergeCell ref="A21:E21"/>
    <mergeCell ref="G22:I22"/>
    <mergeCell ref="A23:E23"/>
    <mergeCell ref="A39:I39"/>
    <mergeCell ref="G21:I21"/>
    <mergeCell ref="A22:E22"/>
    <mergeCell ref="A11:I11"/>
    <mergeCell ref="A20:E20"/>
    <mergeCell ref="G23:I23"/>
    <mergeCell ref="A19:E19"/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36" customHeight="1">
      <c r="A1" s="62" t="inlineStr">
        <is>
          <t>Q6 — Fatores Causais: Queda na Taxa de Aprovação (Q4/2020 a Q3/2021)</t>
        </is>
      </c>
    </row>
    <row r="2" ht="20" customHeight="1">
      <c r="A2" s="2" t="inlineStr">
        <is>
          <t>Dois fatores principais identificados e quantificados</t>
        </is>
      </c>
    </row>
    <row r="3" ht="6" customHeight="1"/>
    <row r="4" ht="20" customHeight="1">
      <c r="A4" s="31" t="inlineStr">
        <is>
          <t xml:space="preserve">  Fator 1 — Website 22: crescimento do canal de menor conversão</t>
        </is>
      </c>
    </row>
    <row r="5" ht="28" customHeight="1">
      <c r="A5" s="3" t="inlineStr">
        <is>
          <t>Trimestre</t>
        </is>
      </c>
      <c r="B5" s="3" t="inlineStr">
        <is>
          <t>Web 14 (%)</t>
        </is>
      </c>
      <c r="C5" s="3" t="inlineStr">
        <is>
          <t>Web 18 (%)</t>
        </is>
      </c>
      <c r="D5" s="3" t="inlineStr">
        <is>
          <t>Web 22 (%)</t>
        </is>
      </c>
      <c r="E5" s="3" t="inlineStr">
        <is>
          <t>Web 23 (%)</t>
        </is>
      </c>
      <c r="F5" s="3" t="inlineStr">
        <is>
          <t>Outros</t>
        </is>
      </c>
      <c r="G5" s="3" t="inlineStr">
        <is>
          <t>Delta Web22</t>
        </is>
      </c>
      <c r="H5" s="3" t="inlineStr">
        <is>
          <t>Taxa Aprov.</t>
        </is>
      </c>
      <c r="I5" s="3" t="inlineStr">
        <is>
          <t>Impacto Est.</t>
        </is>
      </c>
    </row>
    <row r="6" ht="20" customHeight="1">
      <c r="A6" s="27" t="inlineStr">
        <is>
          <t>Q4/2020</t>
        </is>
      </c>
      <c r="B6" s="63" t="n">
        <v>0.7376127517607809</v>
      </c>
      <c r="C6" s="63" t="n">
        <v>0.1806190535030273</v>
      </c>
      <c r="D6" s="64" t="n">
        <v>0.03923143457308785</v>
      </c>
      <c r="E6" s="63" t="n">
        <v>0.03042752996416656</v>
      </c>
      <c r="F6" s="63" t="n">
        <v>0.01210923019893739</v>
      </c>
      <c r="G6" s="65" t="n">
        <v>0</v>
      </c>
      <c r="H6" s="8" t="n">
        <v>0.6285987890769801</v>
      </c>
      <c r="I6" s="66" t="inlineStr">
        <is>
          <t>Baseline</t>
        </is>
      </c>
    </row>
    <row r="7" ht="20" customHeight="1">
      <c r="A7" s="27" t="inlineStr">
        <is>
          <t>Q1/2021</t>
        </is>
      </c>
      <c r="B7" s="63" t="n">
        <v>0.7142034990791896</v>
      </c>
      <c r="C7" s="63" t="n">
        <v>0.1605375230202578</v>
      </c>
      <c r="D7" s="67" t="n">
        <v>0.06992403314917127</v>
      </c>
      <c r="E7" s="63" t="n">
        <v>0.04762315837937385</v>
      </c>
      <c r="F7" s="63" t="n">
        <v>0.007711786372007534</v>
      </c>
      <c r="G7" s="68" t="n">
        <v>0.03069259857608342</v>
      </c>
      <c r="H7" s="6" t="n">
        <v>0.6148135359116023</v>
      </c>
      <c r="I7" s="10" t="n">
        <v>-0.00438904159637993</v>
      </c>
    </row>
    <row r="8" ht="20" customHeight="1">
      <c r="A8" s="27" t="inlineStr">
        <is>
          <t>Q2/2021</t>
        </is>
      </c>
      <c r="B8" s="63" t="n">
        <v>0.6990197764402407</v>
      </c>
      <c r="C8" s="63" t="n">
        <v>0.148993981083405</v>
      </c>
      <c r="D8" s="67" t="n">
        <v>0.09702493551160792</v>
      </c>
      <c r="E8" s="63" t="n">
        <v>0.04588134135855546</v>
      </c>
      <c r="F8" s="63" t="n">
        <v>0.009079965606190843</v>
      </c>
      <c r="G8" s="68" t="n">
        <v>0.05779350093852006</v>
      </c>
      <c r="H8" s="6" t="n">
        <v>0.6033705932932072</v>
      </c>
      <c r="I8" s="10" t="n">
        <v>-0.008264470634208371</v>
      </c>
    </row>
    <row r="9" ht="20" customHeight="1">
      <c r="A9" s="27" t="inlineStr">
        <is>
          <t>Q3/2021</t>
        </is>
      </c>
      <c r="B9" s="63" t="n">
        <v>0.6996532122555504</v>
      </c>
      <c r="C9" s="63" t="n">
        <v>0.1423974831075042</v>
      </c>
      <c r="D9" s="69" t="n">
        <v>0.1034285509992492</v>
      </c>
      <c r="E9" s="63" t="n">
        <v>0.04783525794572951</v>
      </c>
      <c r="F9" s="63" t="n">
        <v>0.006685495691966636</v>
      </c>
      <c r="G9" s="68" t="n">
        <v>0.06419711642616137</v>
      </c>
      <c r="H9" s="18" t="n">
        <v>0.5942225876800973</v>
      </c>
      <c r="I9" s="10" t="n">
        <v>-0.009180187648941077</v>
      </c>
    </row>
    <row r="11" ht="20" customHeight="1">
      <c r="A11" s="31" t="inlineStr">
        <is>
          <t xml:space="preserve">  Fator 2 — Mix de Processadores: queda no desempenho chave</t>
        </is>
      </c>
    </row>
    <row r="12" ht="28" customHeight="1">
      <c r="A12" s="3" t="inlineStr">
        <is>
          <t>Trimestre</t>
        </is>
      </c>
      <c r="B12" s="3" t="inlineStr">
        <is>
          <t>Proc100 Vol</t>
        </is>
      </c>
      <c r="C12" s="3" t="inlineStr">
        <is>
          <t>Proc100 Taxa</t>
        </is>
      </c>
      <c r="D12" s="3" t="inlineStr">
        <is>
          <t>Proc111 Vol</t>
        </is>
      </c>
      <c r="E12" s="3" t="inlineStr">
        <is>
          <t>Proc111 Taxa</t>
        </is>
      </c>
      <c r="F12" s="3" t="inlineStr">
        <is>
          <t>Proc182 Vol</t>
        </is>
      </c>
      <c r="G12" s="3" t="inlineStr">
        <is>
          <t>Proc182 Taxa</t>
        </is>
      </c>
      <c r="H12" s="3" t="inlineStr">
        <is>
          <t>Taxa Aprov.</t>
        </is>
      </c>
      <c r="I12" s="3" t="inlineStr">
        <is>
          <t>Delta Q4/20</t>
        </is>
      </c>
    </row>
    <row r="13" ht="20" customHeight="1">
      <c r="A13" s="27" t="inlineStr">
        <is>
          <t>Q4/2020</t>
        </is>
      </c>
      <c r="B13" s="70" t="n">
        <v>3304</v>
      </c>
      <c r="C13" s="46" t="n">
        <v>0.8105326876513317</v>
      </c>
      <c r="D13" s="28" t="n">
        <v>3765</v>
      </c>
      <c r="E13" s="46" t="n">
        <v>0.7205843293492696</v>
      </c>
      <c r="F13" s="70" t="n">
        <v>0</v>
      </c>
      <c r="G13" s="32" t="inlineStr">
        <is>
          <t>—</t>
        </is>
      </c>
      <c r="H13" s="8" t="n">
        <v>0.6285987890769801</v>
      </c>
      <c r="I13" s="10" t="n">
        <v>0</v>
      </c>
    </row>
    <row r="14" ht="20" customHeight="1">
      <c r="A14" s="27" t="inlineStr">
        <is>
          <t>Q1/2021</t>
        </is>
      </c>
      <c r="B14" s="70" t="n">
        <v>1317</v>
      </c>
      <c r="C14" s="46" t="n">
        <v>0.8428246013667426</v>
      </c>
      <c r="D14" s="28" t="n">
        <v>2210</v>
      </c>
      <c r="E14" s="46" t="n">
        <v>0.7434389140271493</v>
      </c>
      <c r="F14" s="70" t="n">
        <v>0</v>
      </c>
      <c r="G14" s="32" t="inlineStr">
        <is>
          <t>—</t>
        </is>
      </c>
      <c r="H14" s="6" t="n">
        <v>0.6148135359116023</v>
      </c>
      <c r="I14" s="11" t="n">
        <v>-0.01378525316537782</v>
      </c>
    </row>
    <row r="15" ht="20" customHeight="1">
      <c r="A15" s="27" t="inlineStr">
        <is>
          <t>Q2/2021</t>
        </is>
      </c>
      <c r="B15" s="70" t="n">
        <v>511</v>
      </c>
      <c r="C15" s="46" t="n">
        <v>0.9197651663405088</v>
      </c>
      <c r="D15" s="28" t="n">
        <v>1470</v>
      </c>
      <c r="E15" s="46" t="n">
        <v>0.6224489795918368</v>
      </c>
      <c r="F15" s="71" t="n">
        <v>3490</v>
      </c>
      <c r="G15" s="54" t="n">
        <v>0.5094555873925501</v>
      </c>
      <c r="H15" s="6" t="n">
        <v>0.6033705932932072</v>
      </c>
      <c r="I15" s="11" t="n">
        <v>-0.02522819578377289</v>
      </c>
    </row>
    <row r="16" ht="20" customHeight="1">
      <c r="A16" s="27" t="inlineStr">
        <is>
          <t>Q3/2021</t>
        </is>
      </c>
      <c r="B16" s="71" t="n">
        <v>339</v>
      </c>
      <c r="C16" s="46" t="n">
        <v>0.8849557522123894</v>
      </c>
      <c r="D16" s="28" t="n">
        <v>1701</v>
      </c>
      <c r="E16" s="54" t="n">
        <v>0.5684891240446796</v>
      </c>
      <c r="F16" s="71" t="n">
        <v>2331</v>
      </c>
      <c r="G16" s="54" t="n">
        <v>0.5405405405405406</v>
      </c>
      <c r="H16" s="18" t="n">
        <v>0.5942225876800973</v>
      </c>
      <c r="I16" s="11" t="n">
        <v>-0.0343762013968828</v>
      </c>
    </row>
  </sheetData>
  <mergeCells count="4">
    <mergeCell ref="A1:I1"/>
    <mergeCell ref="A4:I4"/>
    <mergeCell ref="A2:I2"/>
    <mergeCell ref="A11:I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2026-04-23T16:15:19Z</dcterms:created>
  <dcterms:modified xmlns:dcterms="http://purl.org/dc/terms/" xmlns:xsi="http://www.w3.org/2001/XMLSchema-instance" xsi:type="dcterms:W3CDTF">2026-04-23T16:15:19Z</dcterms:modified>
</cp:coreProperties>
</file>